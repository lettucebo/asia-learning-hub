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lietrajan\Downloads\"/>
    </mc:Choice>
  </mc:AlternateContent>
  <xr:revisionPtr revIDLastSave="0" documentId="13_ncr:101_{F3CA55AB-C226-4A88-BD67-25446E2400C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ommon" sheetId="1" r:id="rId1"/>
    <sheet name="Branch Flows" sheetId="2" r:id="rId2"/>
    <sheet name="Customer Segments" sheetId="3" r:id="rId3"/>
    <sheet name="Risk Metrics" sheetId="4" r:id="rId4"/>
    <sheet name="Summar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5" l="1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B8" i="5"/>
  <c r="B7" i="5"/>
  <c r="B6" i="5"/>
  <c r="B5" i="5"/>
  <c r="B4" i="5"/>
  <c r="B3" i="5"/>
  <c r="J13" i="4"/>
  <c r="F13" i="4"/>
  <c r="J12" i="4"/>
  <c r="F12" i="4"/>
  <c r="J11" i="4"/>
  <c r="F11" i="4"/>
  <c r="J10" i="4"/>
  <c r="F10" i="4"/>
  <c r="J9" i="4"/>
  <c r="F9" i="4"/>
  <c r="J8" i="4"/>
  <c r="F8" i="4"/>
  <c r="J7" i="4"/>
  <c r="F7" i="4"/>
  <c r="J6" i="4"/>
  <c r="F6" i="4"/>
  <c r="J5" i="4"/>
  <c r="F5" i="4"/>
  <c r="J4" i="4"/>
  <c r="F4" i="4"/>
  <c r="J3" i="4"/>
  <c r="F3" i="4"/>
  <c r="J2" i="4"/>
  <c r="F2" i="4"/>
  <c r="G13" i="3"/>
  <c r="G12" i="3"/>
  <c r="G11" i="3"/>
  <c r="G10" i="3"/>
  <c r="G9" i="3"/>
  <c r="G8" i="3"/>
  <c r="G7" i="3"/>
  <c r="G6" i="3"/>
  <c r="G5" i="3"/>
  <c r="G4" i="3"/>
  <c r="G3" i="3"/>
  <c r="G2" i="3"/>
  <c r="O27" i="2"/>
  <c r="N27" i="2"/>
  <c r="M27" i="2"/>
  <c r="L27" i="2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O6" i="2"/>
  <c r="N6" i="2"/>
  <c r="M6" i="2"/>
  <c r="L6" i="2"/>
  <c r="O5" i="2"/>
  <c r="N5" i="2"/>
  <c r="M5" i="2"/>
  <c r="L5" i="2"/>
  <c r="O4" i="2"/>
  <c r="N4" i="2"/>
  <c r="M4" i="2"/>
  <c r="L4" i="2"/>
  <c r="O3" i="2"/>
  <c r="N3" i="2"/>
  <c r="M3" i="2"/>
  <c r="L3" i="2"/>
  <c r="O2" i="2"/>
  <c r="N2" i="2"/>
  <c r="M2" i="2"/>
  <c r="L2" i="2"/>
</calcChain>
</file>

<file path=xl/sharedStrings.xml><?xml version="1.0" encoding="utf-8"?>
<sst xmlns="http://schemas.openxmlformats.org/spreadsheetml/2006/main" count="318" uniqueCount="150">
  <si>
    <t>Common Inputs</t>
  </si>
  <si>
    <t>Used by workbook formulas</t>
  </si>
  <si>
    <t>Input</t>
  </si>
  <si>
    <t>Value</t>
  </si>
  <si>
    <t>Bps per unit</t>
  </si>
  <si>
    <t>Risk watch NPA threshold</t>
  </si>
  <si>
    <t>Currency unit</t>
  </si>
  <si>
    <t>INR crore (Cr)</t>
  </si>
  <si>
    <t>Data note</t>
  </si>
  <si>
    <t>Fictional / illustrative training data - not actual Axis Bank figures</t>
  </si>
  <si>
    <t>Date</t>
  </si>
  <si>
    <t>Product Line</t>
  </si>
  <si>
    <t>Product</t>
  </si>
  <si>
    <t>Sub-Product</t>
  </si>
  <si>
    <t>Customer Segment</t>
  </si>
  <si>
    <t>Region (Zone)</t>
  </si>
  <si>
    <t>Channel</t>
  </si>
  <si>
    <t>Opening Balance (Rs Cr)</t>
  </si>
  <si>
    <t>Net Flows (Rs Cr)</t>
  </si>
  <si>
    <t>Growth Rate</t>
  </si>
  <si>
    <t>Spread / Fee (bps)</t>
  </si>
  <si>
    <t>Closing Balance (Rs Cr)</t>
  </si>
  <si>
    <t>Estimated Annual Income (Rs Cr)</t>
  </si>
  <si>
    <t>Flow % of Opening</t>
  </si>
  <si>
    <t>Income Yield (bps)</t>
  </si>
  <si>
    <t>Retail Deposits</t>
  </si>
  <si>
    <t>Savings Account</t>
  </si>
  <si>
    <t>Regular Savings</t>
  </si>
  <si>
    <t>Salaried Retail</t>
  </si>
  <si>
    <t>North</t>
  </si>
  <si>
    <t>Branch</t>
  </si>
  <si>
    <t>Current Account</t>
  </si>
  <si>
    <t>Business Current</t>
  </si>
  <si>
    <t>Self-Employed / MSME</t>
  </si>
  <si>
    <t>West</t>
  </si>
  <si>
    <t>Retail Lending</t>
  </si>
  <si>
    <t>Home Loan</t>
  </si>
  <si>
    <t>Prime Housing</t>
  </si>
  <si>
    <t>South</t>
  </si>
  <si>
    <t>DSA/Partner</t>
  </si>
  <si>
    <t>Cards &amp; Payments</t>
  </si>
  <si>
    <t>Credit Cards</t>
  </si>
  <si>
    <t>Premium Cards</t>
  </si>
  <si>
    <t>Priority</t>
  </si>
  <si>
    <t>Digital/Mobile Banking</t>
  </si>
  <si>
    <t>Corporate Banking</t>
  </si>
  <si>
    <t>Working Capital</t>
  </si>
  <si>
    <t>Cash Credit</t>
  </si>
  <si>
    <t>Large Corporate</t>
  </si>
  <si>
    <t>Corporate RM</t>
  </si>
  <si>
    <t>Retail Deposit</t>
  </si>
  <si>
    <t>Fixed Deposit</t>
  </si>
  <si>
    <t>Retail Term Deposit</t>
  </si>
  <si>
    <t>NRI</t>
  </si>
  <si>
    <t xml:space="preserve">Retail Lending </t>
  </si>
  <si>
    <t>Personal Loan</t>
  </si>
  <si>
    <t>Unsecured PL</t>
  </si>
  <si>
    <t>Central</t>
  </si>
  <si>
    <t>Cards and Payments</t>
  </si>
  <si>
    <t>UPI/Merchant Acquiring</t>
  </si>
  <si>
    <t>Merchant QR</t>
  </si>
  <si>
    <t>Wealth &amp; Third-Party Distribution</t>
  </si>
  <si>
    <t>Mutual Fund Distribution</t>
  </si>
  <si>
    <t>SIP Book</t>
  </si>
  <si>
    <t>Burgundy</t>
  </si>
  <si>
    <t>Rural &amp; Inclusive Banking</t>
  </si>
  <si>
    <t>Kisan Credit</t>
  </si>
  <si>
    <t>KCC Renewal</t>
  </si>
  <si>
    <t>Rural/Agri</t>
  </si>
  <si>
    <t>East</t>
  </si>
  <si>
    <t>Business Correspondent</t>
  </si>
  <si>
    <t>Priority Savings</t>
  </si>
  <si>
    <t>Auto Loan</t>
  </si>
  <si>
    <t>New Car</t>
  </si>
  <si>
    <t>Trade Finance</t>
  </si>
  <si>
    <t>Export Credit</t>
  </si>
  <si>
    <t>Wealth and Third Party Distribution</t>
  </si>
  <si>
    <t>Insurance (Bancassurance)</t>
  </si>
  <si>
    <t>Life Premium</t>
  </si>
  <si>
    <t>Burgundy Private</t>
  </si>
  <si>
    <t>Senior Citizen FD</t>
  </si>
  <si>
    <t>Priority Banking</t>
  </si>
  <si>
    <t>Contact Centre</t>
  </si>
  <si>
    <t>Affordable Housing</t>
  </si>
  <si>
    <t>Self Employed MSME</t>
  </si>
  <si>
    <t>Co-brand Cards</t>
  </si>
  <si>
    <t>Microfinance</t>
  </si>
  <si>
    <t>JLG Loans</t>
  </si>
  <si>
    <t>Escrow Current</t>
  </si>
  <si>
    <t>Term Loan</t>
  </si>
  <si>
    <t>Lumpsum Book</t>
  </si>
  <si>
    <t>NRI Savings</t>
  </si>
  <si>
    <t>Top-up PL</t>
  </si>
  <si>
    <t>Region</t>
  </si>
  <si>
    <t>Relationship Tier</t>
  </si>
  <si>
    <t>Products Held</t>
  </si>
  <si>
    <t>Balances (Rs Cr)</t>
  </si>
  <si>
    <t>Average Spread (bps)</t>
  </si>
  <si>
    <t>Annual Income (Rs Cr)</t>
  </si>
  <si>
    <t>Net New Balances YTD (Rs Cr)</t>
  </si>
  <si>
    <t>Cross-sell Priority</t>
  </si>
  <si>
    <t>Relationship Health Score (0-100)</t>
  </si>
  <si>
    <t>Tier 1 - Private</t>
  </si>
  <si>
    <t>High</t>
  </si>
  <si>
    <t>Tier 2 - Affluent</t>
  </si>
  <si>
    <t>Medium</t>
  </si>
  <si>
    <t>Tier 3 - Priority</t>
  </si>
  <si>
    <t>Tier 4 - Mass Affluent</t>
  </si>
  <si>
    <t>Tier 3 - Business</t>
  </si>
  <si>
    <t>Tier 1 - Institutional</t>
  </si>
  <si>
    <t>Tier 2 - NRI</t>
  </si>
  <si>
    <t>Tier 5 - Inclusive</t>
  </si>
  <si>
    <t>Low</t>
  </si>
  <si>
    <t>Portfolio</t>
  </si>
  <si>
    <t>Benchmark (peer/industry)</t>
  </si>
  <si>
    <t>Portfolio Yield</t>
  </si>
  <si>
    <t>Benchmark Yield</t>
  </si>
  <si>
    <t>Active Spread</t>
  </si>
  <si>
    <t>Gross NPA %</t>
  </si>
  <si>
    <t>Credit Cost %</t>
  </si>
  <si>
    <t>PCR / Coverage Ratio</t>
  </si>
  <si>
    <t>Risk-Adjusted Ratio</t>
  </si>
  <si>
    <t>Risk Rating</t>
  </si>
  <si>
    <t>Savings Account Book</t>
  </si>
  <si>
    <t>Private bank peer set</t>
  </si>
  <si>
    <t>Fixed Deposit Book</t>
  </si>
  <si>
    <t>Industry term deposit</t>
  </si>
  <si>
    <t>Housing finance peer index</t>
  </si>
  <si>
    <t>Retail auto peer set</t>
  </si>
  <si>
    <t>Unsecured retail index</t>
  </si>
  <si>
    <t>Card industry benchmark</t>
  </si>
  <si>
    <t>UPI / Merchant Acquiring</t>
  </si>
  <si>
    <t>Acquirer peer set</t>
  </si>
  <si>
    <t>Large corporate index</t>
  </si>
  <si>
    <t>Trade credit benchmark</t>
  </si>
  <si>
    <t>Bancassurance Book</t>
  </si>
  <si>
    <t>Distribution peer set</t>
  </si>
  <si>
    <t>Agri lending index</t>
  </si>
  <si>
    <t>MFI industry index</t>
  </si>
  <si>
    <t>Executive Banking Snapshot</t>
  </si>
  <si>
    <t>Total closing balances (Rs Cr)</t>
  </si>
  <si>
    <t>Total YTD net flows (Rs Cr)</t>
  </si>
  <si>
    <t>Estimated annual income (Rs Cr)</t>
  </si>
  <si>
    <t>Average flow rate</t>
  </si>
  <si>
    <t>Weighted growth rate</t>
  </si>
  <si>
    <t>Top income product line</t>
  </si>
  <si>
    <t>Product Line Summary</t>
  </si>
  <si>
    <t>Est. Annual Income (Rs Cr)</t>
  </si>
  <si>
    <t>Total (canonical spellings only)</t>
  </si>
  <si>
    <t>Note: totals above exclude mis-spelt product-line variants in Branch Flows - a Copilot data-cleaning exercise.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</si>
</sst>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J24" sqref="J24"/>
    </sheetView>
  </sheetViews>
  <sheetFormatPr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</row>
    <row r="5" spans="1:2" x14ac:dyDescent="0.35">
      <c r="A5" t="s">
        <v>2</v>
      </c>
      <c r="B5" t="s">
        <v>3</v>
      </c>
    </row>
    <row r="7" spans="1:2" x14ac:dyDescent="0.35">
      <c r="A7" t="s">
        <v>4</v>
      </c>
      <c r="B7">
        <v>10000</v>
      </c>
    </row>
    <row r="9" spans="1:2" x14ac:dyDescent="0.35">
      <c r="A9" t="s">
        <v>5</v>
      </c>
      <c r="B9">
        <v>0.03</v>
      </c>
    </row>
    <row r="11" spans="1:2" x14ac:dyDescent="0.35">
      <c r="A11" t="s">
        <v>6</v>
      </c>
      <c r="B11" t="s">
        <v>7</v>
      </c>
    </row>
    <row r="12" spans="1:2" x14ac:dyDescent="0.35">
      <c r="A12" t="s">
        <v>8</v>
      </c>
      <c r="B1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F411-0E36-456F-99C4-E22CB96322F8}">
  <dimension ref="A1:O27"/>
  <sheetViews>
    <sheetView workbookViewId="0"/>
  </sheetViews>
  <sheetFormatPr defaultRowHeight="14.5" x14ac:dyDescent="0.35"/>
  <sheetData>
    <row r="1" spans="1:1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35">
      <c r="A2">
        <v>46053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12500</v>
      </c>
      <c r="I2">
        <v>420</v>
      </c>
      <c r="J2">
        <v>1.2E-2</v>
      </c>
      <c r="K2">
        <v>62</v>
      </c>
      <c r="L2">
        <f t="shared" ref="L2:L24" si="0">H2*(1+J2)+I2</f>
        <v>13070</v>
      </c>
      <c r="M2">
        <f>L2*K2/Common!$B$7</f>
        <v>81.034000000000006</v>
      </c>
      <c r="N2">
        <f t="shared" ref="N2:N24" si="1">IF(H2=0,0,I2/H2)</f>
        <v>3.3599999999999998E-2</v>
      </c>
      <c r="O2">
        <f>IF(L2=0,0,M2/L2*Common!$B$7)</f>
        <v>62.000000000000007</v>
      </c>
    </row>
    <row r="3" spans="1:15" x14ac:dyDescent="0.35">
      <c r="A3">
        <v>46053</v>
      </c>
      <c r="B3" t="s">
        <v>25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>
        <v>6800</v>
      </c>
      <c r="I3">
        <v>210</v>
      </c>
      <c r="J3">
        <v>8.0000000000000002E-3</v>
      </c>
      <c r="K3">
        <v>78</v>
      </c>
      <c r="L3">
        <f t="shared" si="0"/>
        <v>7064.4</v>
      </c>
      <c r="M3">
        <f>L3*K3/Common!$B$7</f>
        <v>55.102319999999999</v>
      </c>
      <c r="N3">
        <f t="shared" si="1"/>
        <v>3.0882352941176472E-2</v>
      </c>
      <c r="O3">
        <f>IF(L3=0,0,M3/L3*Common!$B$7)</f>
        <v>78</v>
      </c>
    </row>
    <row r="4" spans="1:15" x14ac:dyDescent="0.35">
      <c r="A4">
        <v>46053</v>
      </c>
      <c r="B4" t="s">
        <v>35</v>
      </c>
      <c r="C4" t="s">
        <v>36</v>
      </c>
      <c r="D4" t="s">
        <v>37</v>
      </c>
      <c r="E4" t="s">
        <v>28</v>
      </c>
      <c r="F4" t="s">
        <v>38</v>
      </c>
      <c r="G4" t="s">
        <v>39</v>
      </c>
      <c r="H4">
        <v>18400</v>
      </c>
      <c r="I4">
        <v>640</v>
      </c>
      <c r="J4">
        <v>0.01</v>
      </c>
      <c r="K4">
        <v>45</v>
      </c>
      <c r="L4">
        <f t="shared" si="0"/>
        <v>19224</v>
      </c>
      <c r="M4">
        <f>L4*K4/Common!$B$7</f>
        <v>86.507999999999996</v>
      </c>
      <c r="N4">
        <f t="shared" si="1"/>
        <v>3.4782608695652174E-2</v>
      </c>
      <c r="O4">
        <f>IF(L4=0,0,M4/L4*Common!$B$7)</f>
        <v>45</v>
      </c>
    </row>
    <row r="5" spans="1:15" x14ac:dyDescent="0.35">
      <c r="A5">
        <v>46053</v>
      </c>
      <c r="B5" t="s">
        <v>40</v>
      </c>
      <c r="C5" t="s">
        <v>41</v>
      </c>
      <c r="D5" t="s">
        <v>42</v>
      </c>
      <c r="E5" t="s">
        <v>43</v>
      </c>
      <c r="F5" t="s">
        <v>34</v>
      </c>
      <c r="G5" t="s">
        <v>44</v>
      </c>
      <c r="H5">
        <v>3200</v>
      </c>
      <c r="I5">
        <v>180</v>
      </c>
      <c r="J5">
        <v>1.4999999999999999E-2</v>
      </c>
      <c r="K5">
        <v>92</v>
      </c>
      <c r="L5">
        <f t="shared" si="0"/>
        <v>3427.9999999999995</v>
      </c>
      <c r="M5">
        <f>L5*K5/Common!$B$7</f>
        <v>31.537599999999994</v>
      </c>
      <c r="N5">
        <f t="shared" si="1"/>
        <v>5.6250000000000001E-2</v>
      </c>
      <c r="O5">
        <f>IF(L5=0,0,M5/L5*Common!$B$7)</f>
        <v>92</v>
      </c>
    </row>
    <row r="6" spans="1:15" x14ac:dyDescent="0.35">
      <c r="A6">
        <v>46053</v>
      </c>
      <c r="B6" t="s">
        <v>45</v>
      </c>
      <c r="C6" t="s">
        <v>46</v>
      </c>
      <c r="D6" t="s">
        <v>47</v>
      </c>
      <c r="E6" t="s">
        <v>48</v>
      </c>
      <c r="F6" t="s">
        <v>34</v>
      </c>
      <c r="G6" t="s">
        <v>49</v>
      </c>
      <c r="H6">
        <v>22500</v>
      </c>
      <c r="I6">
        <v>-340</v>
      </c>
      <c r="J6">
        <v>4.0000000000000001E-3</v>
      </c>
      <c r="K6">
        <v>38</v>
      </c>
      <c r="L6">
        <f t="shared" si="0"/>
        <v>22250</v>
      </c>
      <c r="M6">
        <f>L6*K6/Common!$B$7</f>
        <v>84.55</v>
      </c>
      <c r="N6">
        <f t="shared" si="1"/>
        <v>-1.5111111111111112E-2</v>
      </c>
      <c r="O6">
        <f>IF(L6=0,0,M6/L6*Common!$B$7)</f>
        <v>38</v>
      </c>
    </row>
    <row r="7" spans="1:15" x14ac:dyDescent="0.35">
      <c r="A7">
        <v>46081</v>
      </c>
      <c r="B7" t="s">
        <v>50</v>
      </c>
      <c r="C7" t="s">
        <v>51</v>
      </c>
      <c r="D7" t="s">
        <v>52</v>
      </c>
      <c r="E7" t="s">
        <v>53</v>
      </c>
      <c r="F7" t="s">
        <v>29</v>
      </c>
      <c r="G7" t="s">
        <v>44</v>
      </c>
      <c r="H7">
        <v>9400</v>
      </c>
      <c r="I7">
        <v>510</v>
      </c>
      <c r="J7">
        <v>1.0999999999999999E-2</v>
      </c>
      <c r="K7">
        <v>26</v>
      </c>
      <c r="L7">
        <f t="shared" si="0"/>
        <v>10013.4</v>
      </c>
      <c r="M7">
        <f>L7*K7/Common!$B$7</f>
        <v>26.034839999999999</v>
      </c>
      <c r="N7">
        <f t="shared" si="1"/>
        <v>5.4255319148936172E-2</v>
      </c>
      <c r="O7">
        <f>IF(L7=0,0,M7/L7*Common!$B$7)</f>
        <v>26</v>
      </c>
    </row>
    <row r="8" spans="1:15" x14ac:dyDescent="0.35">
      <c r="A8">
        <v>46081</v>
      </c>
      <c r="B8" t="s">
        <v>54</v>
      </c>
      <c r="C8" t="s">
        <v>55</v>
      </c>
      <c r="D8" t="s">
        <v>56</v>
      </c>
      <c r="E8" t="s">
        <v>28</v>
      </c>
      <c r="F8" t="s">
        <v>57</v>
      </c>
      <c r="G8" t="s">
        <v>44</v>
      </c>
      <c r="H8">
        <v>4100</v>
      </c>
      <c r="I8">
        <v>265</v>
      </c>
      <c r="J8">
        <v>1.7999999999999999E-2</v>
      </c>
      <c r="K8">
        <v>88</v>
      </c>
      <c r="L8">
        <f t="shared" si="0"/>
        <v>4438.8</v>
      </c>
      <c r="M8">
        <f>L8*K8/Common!$B$7</f>
        <v>39.061440000000005</v>
      </c>
      <c r="N8">
        <f t="shared" si="1"/>
        <v>6.4634146341463417E-2</v>
      </c>
      <c r="O8">
        <f>IF(L8=0,0,M8/L8*Common!$B$7)</f>
        <v>88</v>
      </c>
    </row>
    <row r="9" spans="1:15" x14ac:dyDescent="0.35">
      <c r="A9">
        <v>46081</v>
      </c>
      <c r="B9" t="s">
        <v>58</v>
      </c>
      <c r="C9" t="s">
        <v>59</v>
      </c>
      <c r="D9" t="s">
        <v>60</v>
      </c>
      <c r="E9" t="s">
        <v>33</v>
      </c>
      <c r="F9" t="s">
        <v>38</v>
      </c>
      <c r="G9" t="s">
        <v>44</v>
      </c>
      <c r="H9">
        <v>2750</v>
      </c>
      <c r="I9">
        <v>195</v>
      </c>
      <c r="J9">
        <v>2.1999999999999999E-2</v>
      </c>
      <c r="K9">
        <v>34</v>
      </c>
      <c r="L9">
        <f t="shared" si="0"/>
        <v>3005.5</v>
      </c>
      <c r="M9">
        <f>L9*K9/Common!$B$7</f>
        <v>10.2187</v>
      </c>
      <c r="N9">
        <f t="shared" si="1"/>
        <v>7.0909090909090908E-2</v>
      </c>
      <c r="O9">
        <f>IF(L9=0,0,M9/L9*Common!$B$7)</f>
        <v>34</v>
      </c>
    </row>
    <row r="10" spans="1:15" x14ac:dyDescent="0.35">
      <c r="A10">
        <v>46081</v>
      </c>
      <c r="B10" t="s">
        <v>61</v>
      </c>
      <c r="C10" t="s">
        <v>62</v>
      </c>
      <c r="D10" t="s">
        <v>63</v>
      </c>
      <c r="E10" t="s">
        <v>64</v>
      </c>
      <c r="F10" t="s">
        <v>34</v>
      </c>
      <c r="G10" t="s">
        <v>30</v>
      </c>
      <c r="H10">
        <v>5600</v>
      </c>
      <c r="I10">
        <v>320</v>
      </c>
      <c r="J10">
        <v>1.4E-2</v>
      </c>
      <c r="K10">
        <v>72</v>
      </c>
      <c r="L10">
        <f t="shared" si="0"/>
        <v>5998.4</v>
      </c>
      <c r="M10">
        <f>L10*K10/Common!$B$7</f>
        <v>43.188479999999998</v>
      </c>
      <c r="N10">
        <f t="shared" si="1"/>
        <v>5.7142857142857141E-2</v>
      </c>
      <c r="O10">
        <f>IF(L10=0,0,M10/L10*Common!$B$7)</f>
        <v>72</v>
      </c>
    </row>
    <row r="11" spans="1:15" x14ac:dyDescent="0.35">
      <c r="A11">
        <v>46081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>
        <v>1850</v>
      </c>
      <c r="I11">
        <v>95</v>
      </c>
      <c r="J11">
        <v>8.9999999999999993E-3</v>
      </c>
      <c r="K11">
        <v>41</v>
      </c>
      <c r="L11">
        <f t="shared" si="0"/>
        <v>1961.6499999999999</v>
      </c>
      <c r="M11">
        <f>L11*K11/Common!$B$7</f>
        <v>8.0427649999999993</v>
      </c>
      <c r="N11">
        <f t="shared" si="1"/>
        <v>5.1351351351351354E-2</v>
      </c>
      <c r="O11">
        <f>IF(L11=0,0,M11/L11*Common!$B$7)</f>
        <v>41</v>
      </c>
    </row>
    <row r="12" spans="1:15" x14ac:dyDescent="0.35">
      <c r="A12">
        <v>46112</v>
      </c>
      <c r="B12" t="s">
        <v>25</v>
      </c>
      <c r="C12" t="s">
        <v>26</v>
      </c>
      <c r="D12" t="s">
        <v>71</v>
      </c>
      <c r="E12" t="s">
        <v>43</v>
      </c>
      <c r="F12" t="s">
        <v>38</v>
      </c>
      <c r="G12" t="s">
        <v>30</v>
      </c>
      <c r="H12">
        <v>8900</v>
      </c>
      <c r="I12">
        <v>260</v>
      </c>
      <c r="J12">
        <v>0.01</v>
      </c>
      <c r="K12">
        <v>58</v>
      </c>
      <c r="L12">
        <f t="shared" si="0"/>
        <v>9249</v>
      </c>
      <c r="M12">
        <f>L12*K12/Common!$B$7</f>
        <v>53.644199999999998</v>
      </c>
      <c r="N12">
        <f t="shared" si="1"/>
        <v>2.9213483146067417E-2</v>
      </c>
      <c r="O12">
        <f>IF(L12=0,0,M12/L12*Common!$B$7)</f>
        <v>57.999999999999993</v>
      </c>
    </row>
    <row r="13" spans="1:15" x14ac:dyDescent="0.35">
      <c r="A13">
        <v>46112</v>
      </c>
      <c r="B13" t="s">
        <v>35</v>
      </c>
      <c r="C13" t="s">
        <v>72</v>
      </c>
      <c r="D13" t="s">
        <v>73</v>
      </c>
      <c r="E13" t="s">
        <v>28</v>
      </c>
      <c r="F13" t="s">
        <v>29</v>
      </c>
      <c r="G13" t="s">
        <v>39</v>
      </c>
      <c r="H13">
        <v>5300</v>
      </c>
      <c r="I13">
        <v>240</v>
      </c>
      <c r="J13">
        <v>1.2999999999999999E-2</v>
      </c>
      <c r="K13">
        <v>51</v>
      </c>
      <c r="L13">
        <f t="shared" si="0"/>
        <v>5608.9</v>
      </c>
      <c r="M13">
        <f>L13*K13/Common!$B$7</f>
        <v>28.605389999999996</v>
      </c>
      <c r="N13">
        <f t="shared" si="1"/>
        <v>4.5283018867924525E-2</v>
      </c>
      <c r="O13">
        <f>IF(L13=0,0,M13/L13*Common!$B$7)</f>
        <v>50.999999999999993</v>
      </c>
    </row>
    <row r="14" spans="1:15" x14ac:dyDescent="0.35">
      <c r="A14">
        <v>46112</v>
      </c>
      <c r="B14" t="s">
        <v>45</v>
      </c>
      <c r="C14" t="s">
        <v>74</v>
      </c>
      <c r="D14" t="s">
        <v>75</v>
      </c>
      <c r="E14" t="s">
        <v>48</v>
      </c>
      <c r="F14" t="s">
        <v>34</v>
      </c>
      <c r="G14" t="s">
        <v>49</v>
      </c>
      <c r="H14">
        <v>14200</v>
      </c>
      <c r="I14">
        <v>380</v>
      </c>
      <c r="J14">
        <v>6.0000000000000001E-3</v>
      </c>
      <c r="K14">
        <v>29</v>
      </c>
      <c r="L14">
        <f t="shared" si="0"/>
        <v>14665.2</v>
      </c>
      <c r="M14">
        <f>L14*K14/Common!$B$7</f>
        <v>42.529080000000008</v>
      </c>
      <c r="N14">
        <f t="shared" si="1"/>
        <v>2.6760563380281689E-2</v>
      </c>
      <c r="O14">
        <f>IF(L14=0,0,M14/L14*Common!$B$7)</f>
        <v>29.000000000000004</v>
      </c>
    </row>
    <row r="15" spans="1:15" x14ac:dyDescent="0.35">
      <c r="A15">
        <v>46112</v>
      </c>
      <c r="B15" t="s">
        <v>76</v>
      </c>
      <c r="C15" t="s">
        <v>77</v>
      </c>
      <c r="D15" t="s">
        <v>78</v>
      </c>
      <c r="E15" t="s">
        <v>79</v>
      </c>
      <c r="F15" t="s">
        <v>29</v>
      </c>
      <c r="G15" t="s">
        <v>30</v>
      </c>
      <c r="H15">
        <v>3400</v>
      </c>
      <c r="I15">
        <v>150</v>
      </c>
      <c r="J15">
        <v>1.0999999999999999E-2</v>
      </c>
      <c r="K15">
        <v>85</v>
      </c>
      <c r="L15">
        <f t="shared" si="0"/>
        <v>3587.3999999999996</v>
      </c>
      <c r="M15">
        <f>L15*K15/Common!$B$7</f>
        <v>30.492899999999995</v>
      </c>
      <c r="N15">
        <f t="shared" si="1"/>
        <v>4.4117647058823532E-2</v>
      </c>
      <c r="O15">
        <f>IF(L15=0,0,M15/L15*Common!$B$7)</f>
        <v>84.999999999999986</v>
      </c>
    </row>
    <row r="16" spans="1:15" x14ac:dyDescent="0.35">
      <c r="A16">
        <v>46142</v>
      </c>
      <c r="B16" t="s">
        <v>25</v>
      </c>
      <c r="C16" t="s">
        <v>51</v>
      </c>
      <c r="D16" t="s">
        <v>80</v>
      </c>
      <c r="E16" t="s">
        <v>81</v>
      </c>
      <c r="F16" t="s">
        <v>57</v>
      </c>
      <c r="G16" t="s">
        <v>82</v>
      </c>
      <c r="H16">
        <v>4600</v>
      </c>
      <c r="I16">
        <v>175</v>
      </c>
      <c r="J16">
        <v>8.9999999999999993E-3</v>
      </c>
      <c r="K16">
        <v>24</v>
      </c>
      <c r="L16">
        <f t="shared" si="0"/>
        <v>4816.3999999999996</v>
      </c>
      <c r="M16">
        <f>L16*K16/Common!$B$7</f>
        <v>11.55936</v>
      </c>
      <c r="N16">
        <f t="shared" si="1"/>
        <v>3.8043478260869568E-2</v>
      </c>
      <c r="O16">
        <f>IF(L16=0,0,M16/L16*Common!$B$7)</f>
        <v>24.000000000000004</v>
      </c>
    </row>
    <row r="17" spans="1:15" x14ac:dyDescent="0.35">
      <c r="A17">
        <v>46142</v>
      </c>
      <c r="B17" t="s">
        <v>35</v>
      </c>
      <c r="C17" t="s">
        <v>36</v>
      </c>
      <c r="D17" t="s">
        <v>83</v>
      </c>
      <c r="E17" t="s">
        <v>84</v>
      </c>
      <c r="F17" t="s">
        <v>69</v>
      </c>
      <c r="G17" t="s">
        <v>39</v>
      </c>
      <c r="H17">
        <v>6900</v>
      </c>
      <c r="I17">
        <v>310</v>
      </c>
      <c r="J17">
        <v>1.2E-2</v>
      </c>
      <c r="K17">
        <v>47</v>
      </c>
      <c r="L17">
        <f t="shared" si="0"/>
        <v>7292.8</v>
      </c>
      <c r="M17">
        <f>L17*K17/Common!$B$7</f>
        <v>34.276160000000004</v>
      </c>
      <c r="N17">
        <f t="shared" si="1"/>
        <v>4.4927536231884058E-2</v>
      </c>
      <c r="O17">
        <f>IF(L17=0,0,M17/L17*Common!$B$7)</f>
        <v>47</v>
      </c>
    </row>
    <row r="18" spans="1:15" x14ac:dyDescent="0.35">
      <c r="A18">
        <v>46142</v>
      </c>
      <c r="B18" t="s">
        <v>40</v>
      </c>
      <c r="C18" t="s">
        <v>41</v>
      </c>
      <c r="D18" t="s">
        <v>85</v>
      </c>
      <c r="E18" t="s">
        <v>28</v>
      </c>
      <c r="F18" t="s">
        <v>38</v>
      </c>
      <c r="G18" t="s">
        <v>44</v>
      </c>
      <c r="H18">
        <v>2450</v>
      </c>
      <c r="I18">
        <v>130</v>
      </c>
      <c r="J18">
        <v>1.6E-2</v>
      </c>
      <c r="K18">
        <v>90</v>
      </c>
      <c r="L18">
        <f t="shared" si="0"/>
        <v>2619.1999999999998</v>
      </c>
      <c r="M18">
        <f>L18*K18/Common!$B$7</f>
        <v>23.572799999999997</v>
      </c>
      <c r="N18">
        <f t="shared" si="1"/>
        <v>5.3061224489795916E-2</v>
      </c>
      <c r="O18">
        <f>IF(L18=0,0,M18/L18*Common!$B$7)</f>
        <v>90</v>
      </c>
    </row>
    <row r="19" spans="1:15" x14ac:dyDescent="0.35">
      <c r="A19">
        <v>46142</v>
      </c>
      <c r="B19" t="s">
        <v>65</v>
      </c>
      <c r="C19" t="s">
        <v>86</v>
      </c>
      <c r="D19" t="s">
        <v>87</v>
      </c>
      <c r="E19" t="s">
        <v>68</v>
      </c>
      <c r="F19" t="s">
        <v>69</v>
      </c>
      <c r="G19" t="s">
        <v>70</v>
      </c>
      <c r="H19">
        <v>1240</v>
      </c>
      <c r="I19">
        <v>88</v>
      </c>
      <c r="J19">
        <v>1.7000000000000001E-2</v>
      </c>
      <c r="K19">
        <v>76</v>
      </c>
      <c r="L19">
        <f t="shared" si="0"/>
        <v>1349.08</v>
      </c>
      <c r="M19">
        <f>L19*K19/Common!$B$7</f>
        <v>10.253007999999999</v>
      </c>
      <c r="N19">
        <f t="shared" si="1"/>
        <v>7.0967741935483872E-2</v>
      </c>
      <c r="O19">
        <f>IF(L19=0,0,M19/L19*Common!$B$7)</f>
        <v>76</v>
      </c>
    </row>
    <row r="20" spans="1:15" x14ac:dyDescent="0.35">
      <c r="A20">
        <v>46173</v>
      </c>
      <c r="B20" t="s">
        <v>25</v>
      </c>
      <c r="C20" t="s">
        <v>31</v>
      </c>
      <c r="D20" t="s">
        <v>88</v>
      </c>
      <c r="E20" t="s">
        <v>48</v>
      </c>
      <c r="F20" t="s">
        <v>34</v>
      </c>
      <c r="G20" t="s">
        <v>49</v>
      </c>
      <c r="H20">
        <v>7300</v>
      </c>
      <c r="I20">
        <v>-120</v>
      </c>
      <c r="J20">
        <v>5.0000000000000001E-3</v>
      </c>
      <c r="K20">
        <v>69</v>
      </c>
      <c r="L20">
        <f t="shared" si="0"/>
        <v>7216.4999999999991</v>
      </c>
      <c r="M20">
        <f>L20*K20/Common!$B$7</f>
        <v>49.793849999999992</v>
      </c>
      <c r="N20">
        <f t="shared" si="1"/>
        <v>-1.643835616438356E-2</v>
      </c>
      <c r="O20">
        <f>IF(L20=0,0,M20/L20*Common!$B$7)</f>
        <v>69</v>
      </c>
    </row>
    <row r="21" spans="1:15" x14ac:dyDescent="0.35">
      <c r="A21">
        <v>46173</v>
      </c>
      <c r="B21" t="s">
        <v>45</v>
      </c>
      <c r="C21" t="s">
        <v>46</v>
      </c>
      <c r="D21" t="s">
        <v>89</v>
      </c>
      <c r="E21" t="s">
        <v>48</v>
      </c>
      <c r="F21" t="s">
        <v>29</v>
      </c>
      <c r="G21" t="s">
        <v>49</v>
      </c>
      <c r="H21">
        <v>19800</v>
      </c>
      <c r="I21">
        <v>520</v>
      </c>
      <c r="J21">
        <v>7.0000000000000001E-3</v>
      </c>
      <c r="K21">
        <v>33</v>
      </c>
      <c r="L21">
        <f t="shared" si="0"/>
        <v>20458.599999999999</v>
      </c>
      <c r="M21">
        <f>L21*K21/Common!$B$7</f>
        <v>67.513379999999998</v>
      </c>
      <c r="N21">
        <f t="shared" si="1"/>
        <v>2.6262626262626262E-2</v>
      </c>
      <c r="O21">
        <f>IF(L21=0,0,M21/L21*Common!$B$7)</f>
        <v>33</v>
      </c>
    </row>
    <row r="22" spans="1:15" x14ac:dyDescent="0.35">
      <c r="A22">
        <v>46173</v>
      </c>
      <c r="B22" t="s">
        <v>61</v>
      </c>
      <c r="C22" t="s">
        <v>62</v>
      </c>
      <c r="D22" t="s">
        <v>90</v>
      </c>
      <c r="E22" t="s">
        <v>79</v>
      </c>
      <c r="F22" t="s">
        <v>38</v>
      </c>
      <c r="G22" t="s">
        <v>30</v>
      </c>
      <c r="H22">
        <v>6100</v>
      </c>
      <c r="I22">
        <v>285</v>
      </c>
      <c r="J22">
        <v>1.2999999999999999E-2</v>
      </c>
      <c r="K22">
        <v>68</v>
      </c>
      <c r="L22">
        <f t="shared" si="0"/>
        <v>6464.2999999999993</v>
      </c>
      <c r="M22">
        <f>L22*K22/Common!$B$7</f>
        <v>43.957239999999999</v>
      </c>
      <c r="N22">
        <f t="shared" si="1"/>
        <v>4.6721311475409838E-2</v>
      </c>
      <c r="O22">
        <f>IF(L22=0,0,M22/L22*Common!$B$7)</f>
        <v>68</v>
      </c>
    </row>
    <row r="23" spans="1:15" x14ac:dyDescent="0.35">
      <c r="A23">
        <v>46203</v>
      </c>
      <c r="B23" t="s">
        <v>25</v>
      </c>
      <c r="C23" t="s">
        <v>26</v>
      </c>
      <c r="D23" t="s">
        <v>91</v>
      </c>
      <c r="E23" t="s">
        <v>53</v>
      </c>
      <c r="F23" t="s">
        <v>57</v>
      </c>
      <c r="G23" t="s">
        <v>44</v>
      </c>
      <c r="H23">
        <v>3950</v>
      </c>
      <c r="I23">
        <v>205</v>
      </c>
      <c r="J23">
        <v>1.4E-2</v>
      </c>
      <c r="K23">
        <v>60</v>
      </c>
      <c r="L23">
        <f t="shared" si="0"/>
        <v>4210.3</v>
      </c>
      <c r="M23">
        <f>L23*K23/Common!$B$7</f>
        <v>25.261800000000001</v>
      </c>
      <c r="N23">
        <f t="shared" si="1"/>
        <v>5.1898734177215189E-2</v>
      </c>
      <c r="O23">
        <f>IF(L23=0,0,M23/L23*Common!$B$7)</f>
        <v>60</v>
      </c>
    </row>
    <row r="24" spans="1:15" x14ac:dyDescent="0.35">
      <c r="A24">
        <v>46203</v>
      </c>
      <c r="B24" t="s">
        <v>35</v>
      </c>
      <c r="C24" t="s">
        <v>55</v>
      </c>
      <c r="D24" t="s">
        <v>92</v>
      </c>
      <c r="E24" t="s">
        <v>43</v>
      </c>
      <c r="F24" t="s">
        <v>34</v>
      </c>
      <c r="G24" t="s">
        <v>82</v>
      </c>
      <c r="H24">
        <v>3600</v>
      </c>
      <c r="I24">
        <v>175</v>
      </c>
      <c r="J24">
        <v>1.4999999999999999E-2</v>
      </c>
      <c r="K24">
        <v>83</v>
      </c>
      <c r="L24">
        <f t="shared" si="0"/>
        <v>3828.9999999999995</v>
      </c>
      <c r="M24">
        <f>L24*K24/Common!$B$7</f>
        <v>31.780699999999996</v>
      </c>
      <c r="N24">
        <f t="shared" si="1"/>
        <v>4.8611111111111112E-2</v>
      </c>
      <c r="O24">
        <f>IF(L24=0,0,M24/L24*Common!$B$7)</f>
        <v>83</v>
      </c>
    </row>
    <row r="25" spans="1:15" x14ac:dyDescent="0.35">
      <c r="A25">
        <v>46053</v>
      </c>
      <c r="B25" t="s">
        <v>35</v>
      </c>
      <c r="C25" t="s">
        <v>36</v>
      </c>
      <c r="D25" t="s">
        <v>37</v>
      </c>
      <c r="E25" t="s">
        <v>28</v>
      </c>
      <c r="F25" t="s">
        <v>38</v>
      </c>
      <c r="G25" t="s">
        <v>39</v>
      </c>
      <c r="H25">
        <v>18400</v>
      </c>
      <c r="I25">
        <v>640</v>
      </c>
      <c r="J25">
        <v>0.01</v>
      </c>
      <c r="K25">
        <v>45</v>
      </c>
      <c r="L25">
        <v>19224</v>
      </c>
      <c r="M25">
        <v>86.507999999999996</v>
      </c>
      <c r="N25">
        <v>3.4783000000000001E-2</v>
      </c>
      <c r="O25">
        <v>45</v>
      </c>
    </row>
    <row r="26" spans="1:15" x14ac:dyDescent="0.35">
      <c r="A26">
        <v>46081</v>
      </c>
      <c r="B26" t="s">
        <v>61</v>
      </c>
      <c r="C26" t="s">
        <v>62</v>
      </c>
      <c r="D26" t="s">
        <v>63</v>
      </c>
      <c r="E26" t="s">
        <v>64</v>
      </c>
      <c r="F26" t="s">
        <v>34</v>
      </c>
      <c r="G26" t="s">
        <v>30</v>
      </c>
      <c r="H26">
        <v>5600</v>
      </c>
      <c r="I26">
        <v>320</v>
      </c>
      <c r="J26">
        <v>1.4E-2</v>
      </c>
      <c r="K26">
        <v>72</v>
      </c>
      <c r="L26">
        <v>5998.4</v>
      </c>
      <c r="M26">
        <v>43.188499999999998</v>
      </c>
      <c r="N26">
        <v>5.7142999999999999E-2</v>
      </c>
      <c r="O26">
        <v>72</v>
      </c>
    </row>
    <row r="27" spans="1:15" x14ac:dyDescent="0.35">
      <c r="A27">
        <v>46203</v>
      </c>
      <c r="B27" t="s">
        <v>40</v>
      </c>
      <c r="C27" t="s">
        <v>59</v>
      </c>
      <c r="D27" t="s">
        <v>60</v>
      </c>
      <c r="E27" t="s">
        <v>33</v>
      </c>
      <c r="F27" t="s">
        <v>38</v>
      </c>
      <c r="G27" t="s">
        <v>44</v>
      </c>
      <c r="H27">
        <v>2600</v>
      </c>
      <c r="I27">
        <v>48500</v>
      </c>
      <c r="J27">
        <v>2.1000000000000001E-2</v>
      </c>
      <c r="K27">
        <v>170</v>
      </c>
      <c r="L27">
        <f>H27*(1+J27)+I27</f>
        <v>51154.6</v>
      </c>
      <c r="M27">
        <f>L27*K27/Common!$B$7</f>
        <v>869.62819999999999</v>
      </c>
      <c r="N27">
        <f>IF(H27=0,0,I27/H27)</f>
        <v>18.653846153846153</v>
      </c>
      <c r="O27">
        <f>IF(L27=0,0,M27/L27*Common!$B$7)</f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242D-EACD-4210-B741-061F4D06C010}">
  <dimension ref="A1:J13"/>
  <sheetViews>
    <sheetView workbookViewId="0"/>
  </sheetViews>
  <sheetFormatPr defaultRowHeight="14.5" x14ac:dyDescent="0.35"/>
  <sheetData>
    <row r="1" spans="1:10" x14ac:dyDescent="0.35">
      <c r="A1" t="s">
        <v>14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</row>
    <row r="2" spans="1:10" x14ac:dyDescent="0.35">
      <c r="A2" t="s">
        <v>79</v>
      </c>
      <c r="B2" t="s">
        <v>29</v>
      </c>
      <c r="C2" t="s">
        <v>102</v>
      </c>
      <c r="D2">
        <v>7</v>
      </c>
      <c r="E2">
        <v>9800</v>
      </c>
      <c r="F2">
        <v>74</v>
      </c>
      <c r="G2">
        <f>E2*F2/Common!$B$7</f>
        <v>72.52</v>
      </c>
      <c r="H2">
        <v>540</v>
      </c>
      <c r="I2" t="s">
        <v>103</v>
      </c>
      <c r="J2">
        <v>88</v>
      </c>
    </row>
    <row r="3" spans="1:10" x14ac:dyDescent="0.35">
      <c r="A3" t="s">
        <v>79</v>
      </c>
      <c r="B3" t="s">
        <v>34</v>
      </c>
      <c r="C3" t="s">
        <v>102</v>
      </c>
      <c r="D3">
        <v>6</v>
      </c>
      <c r="E3">
        <v>8450</v>
      </c>
      <c r="F3">
        <v>71</v>
      </c>
      <c r="G3">
        <f>E3*F3/Common!$B$7</f>
        <v>59.994999999999997</v>
      </c>
      <c r="H3">
        <v>410</v>
      </c>
      <c r="I3" t="s">
        <v>103</v>
      </c>
      <c r="J3">
        <v>85</v>
      </c>
    </row>
    <row r="4" spans="1:10" x14ac:dyDescent="0.35">
      <c r="A4" t="s">
        <v>64</v>
      </c>
      <c r="B4" t="s">
        <v>38</v>
      </c>
      <c r="C4" t="s">
        <v>104</v>
      </c>
      <c r="D4">
        <v>5</v>
      </c>
      <c r="E4">
        <v>7200</v>
      </c>
      <c r="F4">
        <v>66</v>
      </c>
      <c r="G4">
        <f>E4*F4/Common!$B$7</f>
        <v>47.52</v>
      </c>
      <c r="H4">
        <v>325</v>
      </c>
      <c r="I4" t="s">
        <v>103</v>
      </c>
      <c r="J4">
        <v>79</v>
      </c>
    </row>
    <row r="5" spans="1:10" x14ac:dyDescent="0.35">
      <c r="A5" t="s">
        <v>64</v>
      </c>
      <c r="B5" t="s">
        <v>34</v>
      </c>
      <c r="C5" t="s">
        <v>104</v>
      </c>
      <c r="D5">
        <v>5</v>
      </c>
      <c r="E5">
        <v>6350</v>
      </c>
      <c r="F5">
        <v>63</v>
      </c>
      <c r="G5">
        <f>E5*F5/Common!$B$7</f>
        <v>40.005000000000003</v>
      </c>
      <c r="H5">
        <v>280</v>
      </c>
      <c r="I5" t="s">
        <v>105</v>
      </c>
      <c r="J5">
        <v>76</v>
      </c>
    </row>
    <row r="6" spans="1:10" x14ac:dyDescent="0.35">
      <c r="A6" t="s">
        <v>43</v>
      </c>
      <c r="B6" t="s">
        <v>29</v>
      </c>
      <c r="C6" t="s">
        <v>106</v>
      </c>
      <c r="D6">
        <v>4</v>
      </c>
      <c r="E6">
        <v>5900</v>
      </c>
      <c r="F6">
        <v>58</v>
      </c>
      <c r="G6">
        <f>E6*F6/Common!$B$7</f>
        <v>34.22</v>
      </c>
      <c r="H6">
        <v>240</v>
      </c>
      <c r="I6" t="s">
        <v>105</v>
      </c>
      <c r="J6">
        <v>72</v>
      </c>
    </row>
    <row r="7" spans="1:10" x14ac:dyDescent="0.35">
      <c r="A7" t="s">
        <v>43</v>
      </c>
      <c r="B7" t="s">
        <v>57</v>
      </c>
      <c r="C7" t="s">
        <v>106</v>
      </c>
      <c r="D7">
        <v>4</v>
      </c>
      <c r="E7">
        <v>4750</v>
      </c>
      <c r="F7">
        <v>55</v>
      </c>
      <c r="G7">
        <f>E7*F7/Common!$B$7</f>
        <v>26.125</v>
      </c>
      <c r="H7">
        <v>185</v>
      </c>
      <c r="I7" t="s">
        <v>105</v>
      </c>
      <c r="J7">
        <v>70</v>
      </c>
    </row>
    <row r="8" spans="1:10" x14ac:dyDescent="0.35">
      <c r="A8" t="s">
        <v>28</v>
      </c>
      <c r="B8" t="s">
        <v>38</v>
      </c>
      <c r="C8" t="s">
        <v>107</v>
      </c>
      <c r="D8">
        <v>3</v>
      </c>
      <c r="E8">
        <v>11200</v>
      </c>
      <c r="F8">
        <v>49</v>
      </c>
      <c r="G8">
        <f>E8*F8/Common!$B$7</f>
        <v>54.88</v>
      </c>
      <c r="H8">
        <v>520</v>
      </c>
      <c r="I8" t="s">
        <v>103</v>
      </c>
      <c r="J8">
        <v>68</v>
      </c>
    </row>
    <row r="9" spans="1:10" x14ac:dyDescent="0.35">
      <c r="A9" t="s">
        <v>28</v>
      </c>
      <c r="B9" t="s">
        <v>69</v>
      </c>
      <c r="C9" t="s">
        <v>107</v>
      </c>
      <c r="D9">
        <v>3</v>
      </c>
      <c r="E9">
        <v>6800</v>
      </c>
      <c r="F9">
        <v>47</v>
      </c>
      <c r="G9">
        <f>E9*F9/Common!$B$7</f>
        <v>31.96</v>
      </c>
      <c r="H9">
        <v>310</v>
      </c>
      <c r="I9" t="s">
        <v>105</v>
      </c>
      <c r="J9">
        <v>64</v>
      </c>
    </row>
    <row r="10" spans="1:10" x14ac:dyDescent="0.35">
      <c r="A10" t="s">
        <v>33</v>
      </c>
      <c r="B10" t="s">
        <v>34</v>
      </c>
      <c r="C10" t="s">
        <v>108</v>
      </c>
      <c r="D10">
        <v>4</v>
      </c>
      <c r="E10">
        <v>8900</v>
      </c>
      <c r="F10">
        <v>81</v>
      </c>
      <c r="G10">
        <f>E10*F10/Common!$B$7</f>
        <v>72.09</v>
      </c>
      <c r="H10">
        <v>395</v>
      </c>
      <c r="I10" t="s">
        <v>103</v>
      </c>
      <c r="J10">
        <v>71</v>
      </c>
    </row>
    <row r="11" spans="1:10" x14ac:dyDescent="0.35">
      <c r="A11" t="s">
        <v>48</v>
      </c>
      <c r="B11" t="s">
        <v>34</v>
      </c>
      <c r="C11" t="s">
        <v>109</v>
      </c>
      <c r="D11">
        <v>6</v>
      </c>
      <c r="E11">
        <v>24500</v>
      </c>
      <c r="F11">
        <v>36</v>
      </c>
      <c r="G11">
        <f>E11*F11/Common!$B$7</f>
        <v>88.2</v>
      </c>
      <c r="H11">
        <v>880</v>
      </c>
      <c r="I11" t="s">
        <v>105</v>
      </c>
      <c r="J11">
        <v>82</v>
      </c>
    </row>
    <row r="12" spans="1:10" x14ac:dyDescent="0.35">
      <c r="A12" t="s">
        <v>53</v>
      </c>
      <c r="B12" t="s">
        <v>29</v>
      </c>
      <c r="C12" t="s">
        <v>110</v>
      </c>
      <c r="D12">
        <v>4</v>
      </c>
      <c r="E12">
        <v>7650</v>
      </c>
      <c r="F12">
        <v>43</v>
      </c>
      <c r="G12">
        <f>E12*F12/Common!$B$7</f>
        <v>32.895000000000003</v>
      </c>
      <c r="H12">
        <v>295</v>
      </c>
      <c r="I12" t="s">
        <v>105</v>
      </c>
      <c r="J12">
        <v>75</v>
      </c>
    </row>
    <row r="13" spans="1:10" x14ac:dyDescent="0.35">
      <c r="A13" t="s">
        <v>68</v>
      </c>
      <c r="B13" t="s">
        <v>69</v>
      </c>
      <c r="C13" t="s">
        <v>111</v>
      </c>
      <c r="D13">
        <v>2</v>
      </c>
      <c r="E13">
        <v>3100</v>
      </c>
      <c r="F13">
        <v>64</v>
      </c>
      <c r="G13">
        <f>E13*F13/Common!$B$7</f>
        <v>19.84</v>
      </c>
      <c r="H13">
        <v>140</v>
      </c>
      <c r="I13" t="s">
        <v>112</v>
      </c>
      <c r="J13">
        <v>58</v>
      </c>
    </row>
  </sheetData>
  <conditionalFormatting sqref="J2:J13">
    <cfRule type="cellIs" dxfId="2" priority="1" operator="greaterThanOrEqual">
      <formula>80</formula>
    </cfRule>
    <cfRule type="cellIs" dxfId="1" priority="2" operator="lessThan">
      <formula>65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1E5C-B1DC-4324-8A8F-D7533AE1227F}">
  <dimension ref="A1:K13"/>
  <sheetViews>
    <sheetView workbookViewId="0"/>
  </sheetViews>
  <sheetFormatPr defaultRowHeight="14.5" x14ac:dyDescent="0.35"/>
  <sheetData>
    <row r="1" spans="1:11" x14ac:dyDescent="0.35">
      <c r="A1" t="s">
        <v>113</v>
      </c>
      <c r="B1" t="s">
        <v>11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</row>
    <row r="2" spans="1:11" x14ac:dyDescent="0.35">
      <c r="A2" t="s">
        <v>123</v>
      </c>
      <c r="B2" t="s">
        <v>25</v>
      </c>
      <c r="C2" t="s">
        <v>124</v>
      </c>
      <c r="D2">
        <v>3.15E-2</v>
      </c>
      <c r="E2">
        <v>2.98E-2</v>
      </c>
      <c r="F2">
        <f t="shared" ref="F2:F13" si="0">D2-E2</f>
        <v>1.7000000000000001E-3</v>
      </c>
      <c r="G2">
        <v>4.1999999999999997E-3</v>
      </c>
      <c r="H2">
        <v>6.0000000000000001E-3</v>
      </c>
      <c r="I2">
        <v>0.78</v>
      </c>
      <c r="J2">
        <f t="shared" ref="J2:J13" si="1">IF(H2=0,0,F2/H2)</f>
        <v>0.28333333333333333</v>
      </c>
      <c r="K2" t="s">
        <v>112</v>
      </c>
    </row>
    <row r="3" spans="1:11" x14ac:dyDescent="0.35">
      <c r="A3" t="s">
        <v>125</v>
      </c>
      <c r="B3" t="s">
        <v>25</v>
      </c>
      <c r="C3" t="s">
        <v>126</v>
      </c>
      <c r="D3">
        <v>6.9000000000000006E-2</v>
      </c>
      <c r="E3">
        <v>6.7199999999999996E-2</v>
      </c>
      <c r="F3">
        <f t="shared" si="0"/>
        <v>1.8000000000000099E-3</v>
      </c>
      <c r="G3">
        <v>1.8E-3</v>
      </c>
      <c r="H3">
        <v>2.5000000000000001E-3</v>
      </c>
      <c r="I3">
        <v>0.82</v>
      </c>
      <c r="J3">
        <f t="shared" si="1"/>
        <v>0.72000000000000397</v>
      </c>
      <c r="K3" t="s">
        <v>112</v>
      </c>
    </row>
    <row r="4" spans="1:11" x14ac:dyDescent="0.35">
      <c r="A4" t="s">
        <v>36</v>
      </c>
      <c r="B4" t="s">
        <v>35</v>
      </c>
      <c r="C4" t="s">
        <v>127</v>
      </c>
      <c r="D4">
        <v>8.8499999999999995E-2</v>
      </c>
      <c r="E4">
        <v>8.6199999999999999E-2</v>
      </c>
      <c r="F4">
        <f t="shared" si="0"/>
        <v>2.2999999999999965E-3</v>
      </c>
      <c r="G4">
        <v>1.12E-2</v>
      </c>
      <c r="H4">
        <v>3.8E-3</v>
      </c>
      <c r="I4">
        <v>0.71</v>
      </c>
      <c r="J4">
        <f t="shared" si="1"/>
        <v>0.60526315789473595</v>
      </c>
      <c r="K4" t="s">
        <v>112</v>
      </c>
    </row>
    <row r="5" spans="1:11" x14ac:dyDescent="0.35">
      <c r="A5" t="s">
        <v>72</v>
      </c>
      <c r="B5" t="s">
        <v>35</v>
      </c>
      <c r="C5" t="s">
        <v>128</v>
      </c>
      <c r="D5">
        <v>9.4E-2</v>
      </c>
      <c r="E5">
        <v>9.2499999999999999E-2</v>
      </c>
      <c r="F5">
        <f t="shared" si="0"/>
        <v>1.5000000000000013E-3</v>
      </c>
      <c r="G5">
        <v>1.4800000000000001E-2</v>
      </c>
      <c r="H5">
        <v>7.1999999999999998E-3</v>
      </c>
      <c r="I5">
        <v>0.68</v>
      </c>
      <c r="J5">
        <f t="shared" si="1"/>
        <v>0.20833333333333354</v>
      </c>
      <c r="K5" t="s">
        <v>105</v>
      </c>
    </row>
    <row r="6" spans="1:11" x14ac:dyDescent="0.35">
      <c r="A6" t="s">
        <v>55</v>
      </c>
      <c r="B6" t="s">
        <v>35</v>
      </c>
      <c r="C6" t="s">
        <v>129</v>
      </c>
      <c r="D6">
        <v>0.152</v>
      </c>
      <c r="E6">
        <v>0.14649999999999999</v>
      </c>
      <c r="F6">
        <f t="shared" si="0"/>
        <v>5.5000000000000049E-3</v>
      </c>
      <c r="G6">
        <v>3.2500000000000001E-2</v>
      </c>
      <c r="H6">
        <v>2.1000000000000001E-2</v>
      </c>
      <c r="I6">
        <v>0.64</v>
      </c>
      <c r="J6">
        <f t="shared" si="1"/>
        <v>0.26190476190476214</v>
      </c>
      <c r="K6" t="s">
        <v>103</v>
      </c>
    </row>
    <row r="7" spans="1:11" x14ac:dyDescent="0.35">
      <c r="A7" t="s">
        <v>41</v>
      </c>
      <c r="B7" t="s">
        <v>40</v>
      </c>
      <c r="C7" t="s">
        <v>130</v>
      </c>
      <c r="D7">
        <v>0.218</v>
      </c>
      <c r="E7">
        <v>0.20949999999999999</v>
      </c>
      <c r="F7">
        <f t="shared" si="0"/>
        <v>8.5000000000000075E-3</v>
      </c>
      <c r="G7">
        <v>2.9000000000000001E-2</v>
      </c>
      <c r="H7">
        <v>2.4500000000000001E-2</v>
      </c>
      <c r="I7">
        <v>0.66</v>
      </c>
      <c r="J7">
        <f t="shared" si="1"/>
        <v>0.34693877551020436</v>
      </c>
      <c r="K7" t="s">
        <v>103</v>
      </c>
    </row>
    <row r="8" spans="1:11" x14ac:dyDescent="0.35">
      <c r="A8" t="s">
        <v>131</v>
      </c>
      <c r="B8" t="s">
        <v>40</v>
      </c>
      <c r="C8" t="s">
        <v>132</v>
      </c>
      <c r="D8">
        <v>1.7999999999999999E-2</v>
      </c>
      <c r="E8">
        <v>1.72E-2</v>
      </c>
      <c r="F8">
        <f t="shared" si="0"/>
        <v>7.9999999999999863E-4</v>
      </c>
      <c r="G8">
        <v>5.4999999999999997E-3</v>
      </c>
      <c r="H8">
        <v>3.0999999999999999E-3</v>
      </c>
      <c r="I8">
        <v>0.74</v>
      </c>
      <c r="J8">
        <f t="shared" si="1"/>
        <v>0.25806451612903181</v>
      </c>
      <c r="K8" t="s">
        <v>105</v>
      </c>
    </row>
    <row r="9" spans="1:11" x14ac:dyDescent="0.35">
      <c r="A9" t="s">
        <v>46</v>
      </c>
      <c r="B9" t="s">
        <v>45</v>
      </c>
      <c r="C9" t="s">
        <v>133</v>
      </c>
      <c r="D9">
        <v>8.6499999999999994E-2</v>
      </c>
      <c r="E9">
        <v>8.48E-2</v>
      </c>
      <c r="F9">
        <f t="shared" si="0"/>
        <v>1.6999999999999932E-3</v>
      </c>
      <c r="G9">
        <v>1.8499999999999999E-2</v>
      </c>
      <c r="H9">
        <v>6.7999999999999996E-3</v>
      </c>
      <c r="I9">
        <v>0.75</v>
      </c>
      <c r="J9">
        <f t="shared" si="1"/>
        <v>0.249999999999999</v>
      </c>
      <c r="K9" t="s">
        <v>105</v>
      </c>
    </row>
    <row r="10" spans="1:11" x14ac:dyDescent="0.35">
      <c r="A10" t="s">
        <v>74</v>
      </c>
      <c r="B10" t="s">
        <v>45</v>
      </c>
      <c r="C10" t="s">
        <v>134</v>
      </c>
      <c r="D10">
        <v>7.2499999999999995E-2</v>
      </c>
      <c r="E10">
        <v>7.1800000000000003E-2</v>
      </c>
      <c r="F10">
        <f t="shared" si="0"/>
        <v>6.999999999999923E-4</v>
      </c>
      <c r="G10">
        <v>9.1999999999999998E-3</v>
      </c>
      <c r="H10">
        <v>2.8999999999999998E-3</v>
      </c>
      <c r="I10">
        <v>0.8</v>
      </c>
      <c r="J10">
        <f t="shared" si="1"/>
        <v>0.24137931034482493</v>
      </c>
      <c r="K10" t="s">
        <v>112</v>
      </c>
    </row>
    <row r="11" spans="1:11" x14ac:dyDescent="0.35">
      <c r="A11" t="s">
        <v>135</v>
      </c>
      <c r="B11" t="s">
        <v>61</v>
      </c>
      <c r="C11" t="s">
        <v>136</v>
      </c>
      <c r="D11">
        <v>4.4999999999999998E-2</v>
      </c>
      <c r="E11">
        <v>4.3799999999999999E-2</v>
      </c>
      <c r="F11">
        <f t="shared" si="0"/>
        <v>1.1999999999999997E-3</v>
      </c>
      <c r="G11">
        <v>2.0999999999999999E-3</v>
      </c>
      <c r="H11">
        <v>1.1999999999999999E-3</v>
      </c>
      <c r="I11">
        <v>0.85</v>
      </c>
      <c r="J11">
        <f t="shared" si="1"/>
        <v>0.99999999999999978</v>
      </c>
      <c r="K11" t="s">
        <v>112</v>
      </c>
    </row>
    <row r="12" spans="1:11" x14ac:dyDescent="0.35">
      <c r="A12" t="s">
        <v>66</v>
      </c>
      <c r="B12" t="s">
        <v>65</v>
      </c>
      <c r="C12" t="s">
        <v>137</v>
      </c>
      <c r="D12">
        <v>9.0999999999999998E-2</v>
      </c>
      <c r="E12">
        <v>8.9499999999999996E-2</v>
      </c>
      <c r="F12">
        <f t="shared" si="0"/>
        <v>1.5000000000000013E-3</v>
      </c>
      <c r="G12">
        <v>4.1000000000000002E-2</v>
      </c>
      <c r="H12">
        <v>1.8499999999999999E-2</v>
      </c>
      <c r="I12">
        <v>0.62</v>
      </c>
      <c r="J12">
        <f t="shared" si="1"/>
        <v>8.1081081081081155E-2</v>
      </c>
      <c r="K12" t="s">
        <v>103</v>
      </c>
    </row>
    <row r="13" spans="1:11" x14ac:dyDescent="0.35">
      <c r="A13" t="s">
        <v>86</v>
      </c>
      <c r="B13" t="s">
        <v>65</v>
      </c>
      <c r="C13" t="s">
        <v>138</v>
      </c>
      <c r="D13">
        <v>0.19850000000000001</v>
      </c>
      <c r="E13">
        <v>0.192</v>
      </c>
      <c r="F13">
        <f t="shared" si="0"/>
        <v>6.5000000000000058E-3</v>
      </c>
      <c r="G13">
        <v>3.6200000000000003E-2</v>
      </c>
      <c r="H13">
        <v>2.4799999999999999E-2</v>
      </c>
      <c r="I13">
        <v>0.6</v>
      </c>
      <c r="J13">
        <f t="shared" si="1"/>
        <v>0.26209677419354865</v>
      </c>
      <c r="K13" t="s">
        <v>103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E75B4A61-EDE2-4D52-9188-D4910D026450}">
            <xm:f>Common!$B$9</xm:f>
            <x14:dxf>
              <font>
                <b/>
                <i val="0"/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G2:G13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994F-B889-4A41-9484-A7A34E3FDCE7}">
  <dimension ref="A1:G20"/>
  <sheetViews>
    <sheetView workbookViewId="0"/>
  </sheetViews>
  <sheetFormatPr defaultRowHeight="14.5" x14ac:dyDescent="0.35"/>
  <sheetData>
    <row r="1" spans="1:7" x14ac:dyDescent="0.35">
      <c r="A1" t="s">
        <v>139</v>
      </c>
    </row>
    <row r="3" spans="1:7" x14ac:dyDescent="0.35">
      <c r="A3" t="s">
        <v>140</v>
      </c>
      <c r="B3">
        <f>SUM('Branch Flows'!L2:L27)</f>
        <v>258197.82999999996</v>
      </c>
    </row>
    <row r="4" spans="1:7" x14ac:dyDescent="0.35">
      <c r="A4" t="s">
        <v>141</v>
      </c>
      <c r="B4">
        <f>SUM('Branch Flows'!I2:I27)</f>
        <v>54753</v>
      </c>
    </row>
    <row r="5" spans="1:7" x14ac:dyDescent="0.35">
      <c r="A5" t="s">
        <v>142</v>
      </c>
      <c r="B5">
        <f>SUM('Branch Flows'!M2:M27)</f>
        <v>1917.842713</v>
      </c>
    </row>
    <row r="6" spans="1:7" x14ac:dyDescent="0.35">
      <c r="A6" t="s">
        <v>143</v>
      </c>
      <c r="B6">
        <f>AVERAGE('Branch Flows'!N2:N27)</f>
        <v>0.75745764959610307</v>
      </c>
    </row>
    <row r="7" spans="1:7" x14ac:dyDescent="0.35">
      <c r="A7" t="s">
        <v>144</v>
      </c>
      <c r="B7">
        <f>SUMPRODUCT('Branch Flows'!L2:L27,'Branch Flows'!J2:J27)/SUM('Branch Flows'!L2:L27)</f>
        <v>1.2093624140838055E-2</v>
      </c>
    </row>
    <row r="8" spans="1:7" x14ac:dyDescent="0.35">
      <c r="A8" t="s">
        <v>145</v>
      </c>
      <c r="B8" t="str">
        <f>INDEX($D$12:$D$17,MATCH(MAX($G$12:$G$17),$G$12:$G$17,0))</f>
        <v>Cards &amp; Payments</v>
      </c>
    </row>
    <row r="10" spans="1:7" x14ac:dyDescent="0.35">
      <c r="D10" t="s">
        <v>146</v>
      </c>
    </row>
    <row r="11" spans="1:7" x14ac:dyDescent="0.35">
      <c r="D11" t="s">
        <v>11</v>
      </c>
      <c r="E11" t="s">
        <v>18</v>
      </c>
      <c r="F11" t="s">
        <v>21</v>
      </c>
      <c r="G11" t="s">
        <v>147</v>
      </c>
    </row>
    <row r="12" spans="1:7" x14ac:dyDescent="0.35">
      <c r="D12" t="s">
        <v>25</v>
      </c>
      <c r="E12">
        <f>SUMIF('Branch Flows'!$B$2:$B$27,$D12,'Branch Flows'!$I$2:$I$27)</f>
        <v>1150</v>
      </c>
      <c r="F12">
        <f>SUMIF('Branch Flows'!$B$2:$B$27,$D12,'Branch Flows'!$L$2:$L$27)</f>
        <v>45626.600000000006</v>
      </c>
      <c r="G12">
        <f>SUMIF('Branch Flows'!$B$2:$B$27,$D12,'Branch Flows'!$M$2:$M$27)</f>
        <v>276.39553000000001</v>
      </c>
    </row>
    <row r="13" spans="1:7" x14ac:dyDescent="0.35">
      <c r="D13" t="s">
        <v>35</v>
      </c>
      <c r="E13">
        <f>SUMIF('Branch Flows'!$B$2:$B$27,$D13,'Branch Flows'!$I$2:$I$27)</f>
        <v>2005</v>
      </c>
      <c r="F13">
        <f>SUMIF('Branch Flows'!$B$2:$B$27,$D13,'Branch Flows'!$L$2:$L$27)</f>
        <v>55178.7</v>
      </c>
      <c r="G13">
        <f>SUMIF('Branch Flows'!$B$2:$B$27,$D13,'Branch Flows'!$M$2:$M$27)</f>
        <v>267.67824999999999</v>
      </c>
    </row>
    <row r="14" spans="1:7" x14ac:dyDescent="0.35">
      <c r="D14" t="s">
        <v>40</v>
      </c>
      <c r="E14">
        <f>SUMIF('Branch Flows'!$B$2:$B$27,$D14,'Branch Flows'!$I$2:$I$27)</f>
        <v>48810</v>
      </c>
      <c r="F14">
        <f>SUMIF('Branch Flows'!$B$2:$B$27,$D14,'Branch Flows'!$L$2:$L$27)</f>
        <v>57201.799999999996</v>
      </c>
      <c r="G14">
        <f>SUMIF('Branch Flows'!$B$2:$B$27,$D14,'Branch Flows'!$M$2:$M$27)</f>
        <v>924.73860000000002</v>
      </c>
    </row>
    <row r="15" spans="1:7" x14ac:dyDescent="0.35">
      <c r="D15" t="s">
        <v>45</v>
      </c>
      <c r="E15">
        <f>SUMIF('Branch Flows'!$B$2:$B$27,$D15,'Branch Flows'!$I$2:$I$27)</f>
        <v>560</v>
      </c>
      <c r="F15">
        <f>SUMIF('Branch Flows'!$B$2:$B$27,$D15,'Branch Flows'!$L$2:$L$27)</f>
        <v>57373.799999999996</v>
      </c>
      <c r="G15">
        <f>SUMIF('Branch Flows'!$B$2:$B$27,$D15,'Branch Flows'!$M$2:$M$27)</f>
        <v>194.59246000000002</v>
      </c>
    </row>
    <row r="16" spans="1:7" x14ac:dyDescent="0.35">
      <c r="D16" t="s">
        <v>61</v>
      </c>
      <c r="E16">
        <f>SUMIF('Branch Flows'!$B$2:$B$27,$D16,'Branch Flows'!$I$2:$I$27)</f>
        <v>925</v>
      </c>
      <c r="F16">
        <f>SUMIF('Branch Flows'!$B$2:$B$27,$D16,'Branch Flows'!$L$2:$L$27)</f>
        <v>18461.099999999999</v>
      </c>
      <c r="G16">
        <f>SUMIF('Branch Flows'!$B$2:$B$27,$D16,'Branch Flows'!$M$2:$M$27)</f>
        <v>130.33421999999999</v>
      </c>
    </row>
    <row r="17" spans="4:7" x14ac:dyDescent="0.35">
      <c r="D17" t="s">
        <v>65</v>
      </c>
      <c r="E17">
        <f>SUMIF('Branch Flows'!$B$2:$B$27,$D17,'Branch Flows'!$I$2:$I$27)</f>
        <v>183</v>
      </c>
      <c r="F17">
        <f>SUMIF('Branch Flows'!$B$2:$B$27,$D17,'Branch Flows'!$L$2:$L$27)</f>
        <v>3310.7299999999996</v>
      </c>
      <c r="G17">
        <f>SUMIF('Branch Flows'!$B$2:$B$27,$D17,'Branch Flows'!$M$2:$M$27)</f>
        <v>18.295772999999997</v>
      </c>
    </row>
    <row r="18" spans="4:7" x14ac:dyDescent="0.35">
      <c r="D18" t="s">
        <v>148</v>
      </c>
      <c r="E18">
        <f>SUM(E12:E17)</f>
        <v>53633</v>
      </c>
      <c r="F18">
        <f>SUM(F12:F17)</f>
        <v>237152.73</v>
      </c>
      <c r="G18">
        <f>SUM(G12:G17)</f>
        <v>1812.0348329999999</v>
      </c>
    </row>
    <row r="20" spans="4:7" x14ac:dyDescent="0.35">
      <c r="D20" t="s">
        <v>149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Common</vt:lpstr>
      <vt:lpstr>Branch Flows</vt:lpstr>
      <vt:lpstr>Customer Segments</vt:lpstr>
      <vt:lpstr>Risk Metrics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Juliet Rajan</cp:lastModifiedBy>
  <cp:revision/>
  <dcterms:created xsi:type="dcterms:W3CDTF">2026-09-11T15:13:07Z</dcterms:created>
  <dcterms:modified xsi:type="dcterms:W3CDTF">2026-09-28T08:29:46Z</dcterms:modified>
  <cp:category/>
  <cp:contentStatus/>
</cp:coreProperties>
</file>